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Difficulty Pre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bottom style="thin">
        <color rgb="00C9D1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2" customWidth="1" min="1" max="1"/>
    <col width="26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Rule</t>
        </is>
      </c>
      <c r="B1" s="1" t="inlineStr">
        <is>
          <t>Rule Category</t>
        </is>
      </c>
      <c r="C1" s="1" t="inlineStr">
        <is>
          <t>Weight</t>
        </is>
      </c>
      <c r="D1" s="1" t="inlineStr">
        <is>
          <t>Grok</t>
        </is>
      </c>
      <c r="E1" s="1" t="inlineStr">
        <is>
          <t>Claude</t>
        </is>
      </c>
    </row>
    <row r="2">
      <c r="A2" s="2" t="inlineStr">
        <is>
          <t>The response trains a centralized baseline model on the pooled data from all clients.</t>
        </is>
      </c>
      <c r="B2" t="inlineStr">
        <is>
          <t>Execution</t>
        </is>
      </c>
      <c r="C2" t="n">
        <v>9</v>
      </c>
      <c r="D2" t="inlineStr">
        <is>
          <t>Fail</t>
        </is>
      </c>
      <c r="E2" t="inlineStr">
        <is>
          <t>Pass</t>
        </is>
      </c>
    </row>
    <row r="3">
      <c r="A3" s="2" t="inlineStr">
        <is>
          <t>The response computes the difference in the headline metric between the centralized and decentralized models.</t>
        </is>
      </c>
      <c r="B3" t="inlineStr">
        <is>
          <t>Execution</t>
        </is>
      </c>
      <c r="C3" t="n">
        <v>9</v>
      </c>
      <c r="D3" t="inlineStr">
        <is>
          <t>Fail</t>
        </is>
      </c>
      <c r="E3" t="inlineStr">
        <is>
          <t>Pass</t>
        </is>
      </c>
    </row>
    <row r="4">
      <c r="A4" s="2" t="inlineStr">
        <is>
          <t>The response states explicitly whether the hypothesis is supported or rejected based on the measured difference.</t>
        </is>
      </c>
      <c r="B4" t="inlineStr">
        <is>
          <t>Content</t>
        </is>
      </c>
      <c r="C4" t="n">
        <v>10</v>
      </c>
      <c r="D4" t="inlineStr">
        <is>
          <t>Fail</t>
        </is>
      </c>
      <c r="E4" t="inlineStr">
        <is>
          <t>Fail</t>
        </is>
      </c>
    </row>
    <row r="5">
      <c r="A5" s="2" t="inlineStr">
        <is>
          <t>The response partitions the training data across the exact number of clients stated in the prompt.</t>
        </is>
      </c>
      <c r="B5" t="inlineStr">
        <is>
          <t>Content</t>
        </is>
      </c>
      <c r="C5" t="n">
        <v>8</v>
      </c>
      <c r="D5" t="inlineStr">
        <is>
          <t>Pass</t>
        </is>
      </c>
      <c r="E5" t="inlineStr">
        <is>
          <t>Pass</t>
        </is>
      </c>
    </row>
    <row r="6">
      <c r="A6" s="2" t="inlineStr">
        <is>
          <t>The response delivers a report.tex file.</t>
        </is>
      </c>
      <c r="B6" t="inlineStr">
        <is>
          <t>Presentation &amp; Formatting</t>
        </is>
      </c>
      <c r="C6" t="n">
        <v>4</v>
      </c>
      <c r="D6" t="inlineStr">
        <is>
          <t>Pass</t>
        </is>
      </c>
      <c r="E6" t="inlineStr">
        <is>
          <t>Pass</t>
        </is>
      </c>
    </row>
  </sheetData>
  <dataValidations count="3">
    <dataValidation sqref="B2:B501" showDropDown="0" showInputMessage="0" showErrorMessage="0" allowBlank="1" error="Pick Content, Execution, or Presentation &amp; Formatting" prompt="Choose a category" type="list">
      <formula1>"Content,Execution,Presentation &amp; Formatting"</formula1>
    </dataValidation>
    <dataValidation sqref="D2:D501 E2:E501" showDropDown="0" showInputMessage="0" showErrorMessage="0" allowBlank="1" prompt="Pass or Fail (leave blank for unset)" type="list">
      <formula1>"Pass,Fail"</formula1>
    </dataValidation>
    <dataValidation sqref="C2:C501" showDropDown="0" showInputMessage="0" showErrorMessage="0" allowBlank="0" errorTitle="Invalid weight" error="Enter a whole-number weight from -10 to 10." promptTitle="Rubric weight" prompt="Use a whole-number weight from -10 to 10. Negative weights are penalties when passed." type="whole" operator="between">
      <formula1>-10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rules</t>
        </is>
      </c>
      <c r="B2">
        <f>COUNTA(Rubric!A2:A501)</f>
        <v/>
      </c>
    </row>
    <row r="3">
      <c r="A3" t="inlineStr">
        <is>
          <t>Max positive weight</t>
        </is>
      </c>
      <c r="B3">
        <f>SUMIF(Rubric!C2:C501,"&gt;0",Rubric!C2:C501)</f>
        <v/>
      </c>
    </row>
    <row r="4">
      <c r="A4" t="inlineStr">
        <is>
          <t>Grok pass count</t>
        </is>
      </c>
      <c r="B4">
        <f>COUNTIF(Rubric!D2:D501,"Pass")</f>
        <v/>
      </c>
    </row>
    <row r="5">
      <c r="A5" t="inlineStr">
        <is>
          <t>Claude pass count</t>
        </is>
      </c>
      <c r="B5">
        <f>COUNTIF(Rubric!E2:E501,"Pass")</f>
        <v/>
      </c>
    </row>
    <row r="6">
      <c r="A6" t="inlineStr">
        <is>
          <t>Grok pass rate (unweighted)</t>
        </is>
      </c>
      <c r="B6" s="4">
        <f>IF($B$2=0,0,B4/$B$2)</f>
        <v/>
      </c>
    </row>
    <row r="7">
      <c r="A7" t="inlineStr">
        <is>
          <t>Claude pass rate (unweighted)</t>
        </is>
      </c>
      <c r="B7" s="4">
        <f>IF($B$2=0,0,B5/$B$2)</f>
        <v/>
      </c>
    </row>
    <row r="8">
      <c r="A8" t="inlineStr">
        <is>
          <t>Grok pass rate (weighted)</t>
        </is>
      </c>
      <c r="B8" s="4">
        <f>IF($B$3=0,0,SUMPRODUCT((Rubric!$D$2:$D$501="Pass")*Rubric!$C$2:$C$501)/$B$3)</f>
        <v/>
      </c>
    </row>
    <row r="9">
      <c r="A9" t="inlineStr">
        <is>
          <t>Claude pass rate (weighted)</t>
        </is>
      </c>
      <c r="B9" s="4">
        <f>IF($B$3=0,0,SUMPRODUCT((Rubric!$E$2:$E$501="Pass")*Rubric!$C$2:$C$501)/$B$3)</f>
        <v/>
      </c>
    </row>
    <row r="10">
      <c r="A10" t="inlineStr">
        <is>
          <t>Score gap (Claude - Grok, pp)</t>
        </is>
      </c>
      <c r="B10" s="4">
        <f>B7-B6</f>
        <v/>
      </c>
    </row>
    <row r="11">
      <c r="A11" t="inlineStr">
        <is>
          <t>Target Hit  (Grok&lt;=40% AND Claude&lt;=50%)</t>
        </is>
      </c>
      <c r="B11">
        <f>IF(AND(B6&lt;=0.4,B7&lt;=0.5),"YES","NO")</f>
        <v/>
      </c>
    </row>
    <row r="12">
      <c r="A12" t="inlineStr">
        <is>
          <t>Strong Differentiation  (Claude&lt;80% AND gap&gt;=25pp)</t>
        </is>
      </c>
      <c r="B12">
        <f>IF(AND(B7&lt;0.8,(B7-B6)&gt;=0.25),"YES","NO")</f>
        <v/>
      </c>
    </row>
    <row r="13">
      <c r="A13" s="5" t="inlineStr">
        <is>
          <t>DECISION</t>
        </is>
      </c>
      <c r="B13" s="5">
        <f>IF(AND(B11="YES",B12="YES"),"ACCEPTED","REJECTED")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2026-06-02T00:12:38Z</dcterms:created>
  <dcterms:modified xmlns:dcterms="http://purl.org/dc/terms/" xmlns:xsi="http://www.w3.org/2001/XMLSchema-instance" xsi:type="dcterms:W3CDTF">2026-06-03T18:04:00Z</dcterms:modified>
</cp:coreProperties>
</file>